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E:\interviews\interview-3\excel\"/>
    </mc:Choice>
  </mc:AlternateContent>
  <xr:revisionPtr revIDLastSave="0" documentId="13_ncr:1_{7FE129AB-B4B2-46F4-ACE2-56401F7CB04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aw" sheetId="1" r:id="rId1"/>
    <sheet name="Lookup" sheetId="2" r:id="rId2"/>
    <sheet name="Clean" sheetId="3" r:id="rId3"/>
    <sheet name="Summary" sheetId="4" r:id="rId4"/>
  </sheets>
  <calcPr calcId="191029" iterateDelta="1E-4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4" l="1"/>
  <c r="B6" i="4"/>
  <c r="B5" i="4"/>
  <c r="B8" i="4" s="1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K2" i="3"/>
  <c r="H2" i="3"/>
  <c r="G2" i="3"/>
  <c r="K1" i="3"/>
  <c r="K3" i="3" s="1"/>
  <c r="H2" i="1"/>
</calcChain>
</file>

<file path=xl/sharedStrings.xml><?xml version="1.0" encoding="utf-8"?>
<sst xmlns="http://schemas.openxmlformats.org/spreadsheetml/2006/main" count="127" uniqueCount="38">
  <si>
    <t>record_id</t>
  </si>
  <si>
    <t>month</t>
  </si>
  <si>
    <t>route_id</t>
  </si>
  <si>
    <t>hub</t>
  </si>
  <si>
    <t>promised_days</t>
  </si>
  <si>
    <t>actual_days</t>
  </si>
  <si>
    <t>Row count (data rows)</t>
  </si>
  <si>
    <t>Jan</t>
  </si>
  <si>
    <t>R1</t>
  </si>
  <si>
    <t>Mumbai</t>
  </si>
  <si>
    <t>R2</t>
  </si>
  <si>
    <t>Chennai</t>
  </si>
  <si>
    <t>R3</t>
  </si>
  <si>
    <t>Delhi</t>
  </si>
  <si>
    <t>R4</t>
  </si>
  <si>
    <t>Feb</t>
  </si>
  <si>
    <t>Mar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</si>
  <si>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</si>
  <si>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</si>
  <si>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</si>
  <si>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</si>
  <si>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</si>
  <si>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</si>
  <si>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</si>
  <si>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</si>
  <si>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delay_days</t>
  </si>
  <si>
    <t>Before row count (Raw)</t>
  </si>
  <si>
    <t>After row count (Clean)</t>
  </si>
  <si>
    <t>Duplicates removed</t>
  </si>
  <si>
    <t>Delivery Delay Summary</t>
  </si>
  <si>
    <t>Total delay_days by hub (SUMIFS)</t>
  </si>
  <si>
    <t>total_delay_days</t>
  </si>
  <si>
    <t>Grand total</t>
  </si>
  <si>
    <t>PivotTable: delay_days by service_type (rows) x month (columns)</t>
  </si>
  <si>
    <t>Sum of delay_days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</si>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</sst>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1"/>
      <color rgb="FF595959"/>
      <name val="Arial"/>
      <charset val="1"/>
    </font>
    <font>
      <b/>
      <sz val="14"/>
      <name val="Arial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rgb="FF0033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12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3" fillId="0" borderId="1" xfId="0" applyFont="1" applyBorder="1"/>
    <xf numFmtId="0" fontId="4" fillId="0" borderId="1" xfId="0" applyFont="1" applyBorder="1"/>
    <xf numFmtId="0" fontId="2" fillId="2" borderId="1" xfId="0" applyFont="1" applyFill="1" applyBorder="1" applyAlignment="1">
      <alignment horizontal="center"/>
    </xf>
    <xf numFmtId="1" fontId="4" fillId="0" borderId="1" xfId="0" applyNumberFormat="1" applyFont="1" applyBorder="1"/>
    <xf numFmtId="49" fontId="4" fillId="0" borderId="1" xfId="0" applyNumberFormat="1" applyFont="1" applyBorder="1"/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delay_days by service_type and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Summary!$A$14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Summary!$B$13:$D$13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Summary!$B$14:$D$14</c:f>
              <c:numCache>
                <c:formatCode>0</c:formatCode>
                <c:ptCount val="3"/>
                <c:pt idx="0">
                  <c:v>1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F-4649-AD62-97AA52D2F4E9}"/>
            </c:ext>
          </c:extLst>
        </c:ser>
        <c:ser>
          <c:idx val="1"/>
          <c:order val="1"/>
          <c:tx>
            <c:strRef>
              <c:f>Summary!$A$15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Summary!$B$13:$D$13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Summary!$B$15:$D$15</c:f>
              <c:numCache>
                <c:formatCode>0</c:formatCode>
                <c:ptCount val="3"/>
                <c:pt idx="0">
                  <c:v>7</c:v>
                </c:pt>
                <c:pt idx="1">
                  <c:v>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0F-4649-AD62-97AA52D2F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46386"/>
        <c:axId val="57453968"/>
      </c:barChart>
      <c:catAx>
        <c:axId val="218463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453968"/>
        <c:crosses val="autoZero"/>
        <c:auto val="1"/>
        <c:lblAlgn val="ctr"/>
        <c:lblOffset val="100"/>
        <c:noMultiLvlLbl val="0"/>
      </c:catAx>
      <c:valAx>
        <c:axId val="574539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delay_days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8463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160560</xdr:rowOff>
    </xdr:from>
    <xdr:to>
      <xdr:col>15</xdr:col>
      <xdr:colOff>256320</xdr:colOff>
      <xdr:row>17</xdr:row>
      <xdr:rowOff>172080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P TECH" refreshedDate="46305.483501504626" createdVersion="3" refreshedVersion="7" recordCount="12" xr:uid="{00000000-000A-0000-FFFF-FFFF01000000}">
  <cacheSource type="worksheet">
    <worksheetSource ref="A1:H13" sheet="Clean"/>
  </cacheSource>
  <cacheFields count="8">
    <cacheField name="record_id" numFmtId="1">
      <sharedItems containsSemiMixedTypes="0" containsString="0" containsNumber="1" containsInteger="1" minValue="1" maxValue="12"/>
    </cacheField>
    <cacheField name="month" numFmtId="49">
      <sharedItems count="3">
        <s v="Jan"/>
        <s v="Feb"/>
        <s v="Mar"/>
      </sharedItems>
    </cacheField>
    <cacheField name="route_id" numFmtId="0">
      <sharedItems/>
    </cacheField>
    <cacheField name="hub" numFmtId="0">
      <sharedItems/>
    </cacheField>
    <cacheField name="promised_days" numFmtId="1">
      <sharedItems containsSemiMixedTypes="0" containsString="0" containsNumber="1" containsInteger="1" minValue="2" maxValue="6"/>
    </cacheField>
    <cacheField name="actual_days" numFmtId="1">
      <sharedItems containsSemiMixedTypes="0" containsString="0" containsNumber="1" containsInteger="1" minValue="2" maxValue="15"/>
    </cacheField>
    <cacheField name="service_type" numFmtId="0">
      <sharedItems count="2">
        <s v="Express"/>
        <s v="Standard"/>
      </sharedItems>
    </cacheField>
    <cacheField name="delay_days" numFmtId="1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R1"/>
    <s v="Mumbai"/>
    <n v="2"/>
    <n v="2"/>
    <x v="0"/>
    <n v="0"/>
  </r>
  <r>
    <n v="2"/>
    <x v="0"/>
    <s v="R2"/>
    <s v="Chennai"/>
    <n v="3"/>
    <n v="4"/>
    <x v="0"/>
    <n v="1"/>
  </r>
  <r>
    <n v="3"/>
    <x v="0"/>
    <s v="R3"/>
    <s v="Delhi"/>
    <n v="5"/>
    <n v="8"/>
    <x v="1"/>
    <n v="3"/>
  </r>
  <r>
    <n v="4"/>
    <x v="0"/>
    <s v="R4"/>
    <s v="Mumbai"/>
    <n v="6"/>
    <n v="10"/>
    <x v="1"/>
    <n v="4"/>
  </r>
  <r>
    <n v="5"/>
    <x v="1"/>
    <s v="R1"/>
    <s v="Chennai"/>
    <n v="2"/>
    <n v="5"/>
    <x v="0"/>
    <n v="3"/>
  </r>
  <r>
    <n v="6"/>
    <x v="1"/>
    <s v="R2"/>
    <s v="Delhi"/>
    <n v="3"/>
    <n v="3"/>
    <x v="0"/>
    <n v="0"/>
  </r>
  <r>
    <n v="7"/>
    <x v="1"/>
    <s v="R3"/>
    <s v="Delhi"/>
    <n v="5"/>
    <n v="10"/>
    <x v="1"/>
    <n v="5"/>
  </r>
  <r>
    <n v="8"/>
    <x v="1"/>
    <s v="R4"/>
    <s v="Chennai"/>
    <n v="6"/>
    <n v="7"/>
    <x v="1"/>
    <n v="1"/>
  </r>
  <r>
    <n v="9"/>
    <x v="2"/>
    <s v="R1"/>
    <s v="Delhi"/>
    <n v="2"/>
    <n v="8"/>
    <x v="0"/>
    <n v="6"/>
  </r>
  <r>
    <n v="10"/>
    <x v="2"/>
    <s v="R2"/>
    <s v="Mumbai"/>
    <n v="3"/>
    <n v="5"/>
    <x v="0"/>
    <n v="2"/>
  </r>
  <r>
    <n v="11"/>
    <x v="2"/>
    <s v="R3"/>
    <s v="Chennai"/>
    <n v="5"/>
    <n v="5"/>
    <x v="1"/>
    <n v="0"/>
  </r>
  <r>
    <n v="12"/>
    <x v="2"/>
    <s v="R4"/>
    <s v="Mumbai"/>
    <n v="6"/>
    <n v="15"/>
    <x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Delay" cacheId="4" applyNumberFormats="0" applyBorderFormats="0" applyFontFormats="0" applyPatternFormats="0" applyAlignmentFormats="0" applyWidthHeightFormats="0" dataCaption="Values" updatedVersion="7" itemPrintTitles="1" indent="0" outline="1" outlineData="1">
  <location ref="A12:E16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delay_days" fld="7" baseField="0" baseItem="0" numFmtId="1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Normal="100" workbookViewId="0">
      <selection activeCell="H9" sqref="H9"/>
    </sheetView>
  </sheetViews>
  <sheetFormatPr defaultColWidth="8.6328125" defaultRowHeight="14.5" x14ac:dyDescent="0.35"/>
  <cols>
    <col min="1" max="1" width="11" customWidth="1"/>
    <col min="2" max="2" width="8" customWidth="1"/>
    <col min="3" max="3" width="10" customWidth="1"/>
    <col min="4" max="4" width="11" customWidth="1"/>
    <col min="5" max="5" width="15" customWidth="1"/>
    <col min="6" max="6" width="13" customWidth="1"/>
    <col min="8" max="8" width="24" customWidth="1"/>
  </cols>
  <sheetData>
    <row r="1" spans="1:8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H1" s="7" t="s">
        <v>6</v>
      </c>
    </row>
    <row r="2" spans="1:8" x14ac:dyDescent="0.35">
      <c r="A2" s="8">
        <v>1</v>
      </c>
      <c r="B2" s="8" t="s">
        <v>7</v>
      </c>
      <c r="C2" s="8" t="s">
        <v>8</v>
      </c>
      <c r="D2" s="8" t="s">
        <v>9</v>
      </c>
      <c r="E2" s="8">
        <v>2</v>
      </c>
      <c r="F2" s="8">
        <v>2</v>
      </c>
      <c r="H2" s="8">
        <f>COUNTA(A2:A14)</f>
        <v>13</v>
      </c>
    </row>
    <row r="3" spans="1:8" x14ac:dyDescent="0.35">
      <c r="A3" s="8">
        <v>2</v>
      </c>
      <c r="B3" s="8" t="s">
        <v>7</v>
      </c>
      <c r="C3" s="8" t="s">
        <v>10</v>
      </c>
      <c r="D3" s="8" t="s">
        <v>11</v>
      </c>
      <c r="E3" s="8">
        <v>3</v>
      </c>
      <c r="F3" s="8">
        <v>4</v>
      </c>
    </row>
    <row r="4" spans="1:8" x14ac:dyDescent="0.35">
      <c r="A4" s="8">
        <v>3</v>
      </c>
      <c r="B4" s="8" t="s">
        <v>7</v>
      </c>
      <c r="C4" s="8" t="s">
        <v>12</v>
      </c>
      <c r="D4" s="8" t="s">
        <v>13</v>
      </c>
      <c r="E4" s="8">
        <v>5</v>
      </c>
      <c r="F4" s="8">
        <v>8</v>
      </c>
      <c r="H4" s="2"/>
    </row>
    <row r="5" spans="1:8" x14ac:dyDescent="0.35">
      <c r="A5" s="8">
        <v>4</v>
      </c>
      <c r="B5" s="8" t="s">
        <v>7</v>
      </c>
      <c r="C5" s="8" t="s">
        <v>14</v>
      </c>
      <c r="D5" s="8" t="s">
        <v>9</v>
      </c>
      <c r="E5" s="8">
        <v>6</v>
      </c>
      <c r="F5" s="8">
        <v>10</v>
      </c>
    </row>
    <row r="6" spans="1:8" x14ac:dyDescent="0.35">
      <c r="A6" s="8">
        <v>5</v>
      </c>
      <c r="B6" s="8" t="s">
        <v>15</v>
      </c>
      <c r="C6" s="8" t="s">
        <v>8</v>
      </c>
      <c r="D6" s="8" t="s">
        <v>11</v>
      </c>
      <c r="E6" s="8">
        <v>2</v>
      </c>
      <c r="F6" s="8">
        <v>5</v>
      </c>
    </row>
    <row r="7" spans="1:8" x14ac:dyDescent="0.35">
      <c r="A7" s="8">
        <v>6</v>
      </c>
      <c r="B7" s="8" t="s">
        <v>15</v>
      </c>
      <c r="C7" s="8" t="s">
        <v>10</v>
      </c>
      <c r="D7" s="8" t="s">
        <v>13</v>
      </c>
      <c r="E7" s="8">
        <v>3</v>
      </c>
      <c r="F7" s="8">
        <v>3</v>
      </c>
    </row>
    <row r="8" spans="1:8" x14ac:dyDescent="0.35">
      <c r="A8" s="8">
        <v>7</v>
      </c>
      <c r="B8" s="8" t="s">
        <v>15</v>
      </c>
      <c r="C8" s="8" t="s">
        <v>12</v>
      </c>
      <c r="D8" s="8" t="s">
        <v>13</v>
      </c>
      <c r="E8" s="8">
        <v>5</v>
      </c>
      <c r="F8" s="8">
        <v>10</v>
      </c>
    </row>
    <row r="9" spans="1:8" x14ac:dyDescent="0.35">
      <c r="A9" s="8">
        <v>8</v>
      </c>
      <c r="B9" s="8" t="s">
        <v>15</v>
      </c>
      <c r="C9" s="8" t="s">
        <v>14</v>
      </c>
      <c r="D9" s="8" t="s">
        <v>11</v>
      </c>
      <c r="E9" s="8">
        <v>6</v>
      </c>
      <c r="F9" s="8">
        <v>7</v>
      </c>
    </row>
    <row r="10" spans="1:8" x14ac:dyDescent="0.35">
      <c r="A10" s="8">
        <v>9</v>
      </c>
      <c r="B10" s="8" t="s">
        <v>16</v>
      </c>
      <c r="C10" s="8" t="s">
        <v>8</v>
      </c>
      <c r="D10" s="8" t="s">
        <v>13</v>
      </c>
      <c r="E10" s="8">
        <v>2</v>
      </c>
      <c r="F10" s="8">
        <v>8</v>
      </c>
    </row>
    <row r="11" spans="1:8" x14ac:dyDescent="0.35">
      <c r="A11" s="8">
        <v>10</v>
      </c>
      <c r="B11" s="8" t="s">
        <v>16</v>
      </c>
      <c r="C11" s="8" t="s">
        <v>10</v>
      </c>
      <c r="D11" s="8" t="s">
        <v>9</v>
      </c>
      <c r="E11" s="8">
        <v>3</v>
      </c>
      <c r="F11" s="8">
        <v>5</v>
      </c>
    </row>
    <row r="12" spans="1:8" x14ac:dyDescent="0.35">
      <c r="A12" s="8">
        <v>11</v>
      </c>
      <c r="B12" s="8" t="s">
        <v>16</v>
      </c>
      <c r="C12" s="8" t="s">
        <v>12</v>
      </c>
      <c r="D12" s="8" t="s">
        <v>11</v>
      </c>
      <c r="E12" s="8">
        <v>5</v>
      </c>
      <c r="F12" s="8">
        <v>5</v>
      </c>
    </row>
    <row r="13" spans="1:8" x14ac:dyDescent="0.35">
      <c r="A13" s="8">
        <v>12</v>
      </c>
      <c r="B13" s="8" t="s">
        <v>16</v>
      </c>
      <c r="C13" s="8" t="s">
        <v>14</v>
      </c>
      <c r="D13" s="8" t="s">
        <v>9</v>
      </c>
      <c r="E13" s="8">
        <v>6</v>
      </c>
      <c r="F13" s="8">
        <v>15</v>
      </c>
    </row>
    <row r="14" spans="1:8" x14ac:dyDescent="0.35">
      <c r="A14" s="8">
        <v>12</v>
      </c>
      <c r="B14" s="8" t="s">
        <v>16</v>
      </c>
      <c r="C14" s="8" t="s">
        <v>14</v>
      </c>
      <c r="D14" s="8" t="s">
        <v>9</v>
      </c>
      <c r="E14" s="8">
        <v>6</v>
      </c>
      <c r="F14" s="8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>
      <selection activeCell="B14" sqref="B14"/>
    </sheetView>
  </sheetViews>
  <sheetFormatPr defaultColWidth="8.6328125" defaultRowHeight="14.5" x14ac:dyDescent="0.35"/>
  <cols>
    <col min="1" max="1" width="10" customWidth="1"/>
    <col min="2" max="2" width="18" customWidth="1"/>
    <col min="3" max="3" width="14" customWidth="1"/>
  </cols>
  <sheetData>
    <row r="1" spans="1:3" x14ac:dyDescent="0.35">
      <c r="A1" s="9" t="s">
        <v>2</v>
      </c>
      <c r="B1" s="9" t="s">
        <v>17</v>
      </c>
      <c r="C1" s="9" t="s">
        <v>18</v>
      </c>
    </row>
    <row r="2" spans="1:3" x14ac:dyDescent="0.35">
      <c r="A2" s="8" t="s">
        <v>8</v>
      </c>
      <c r="B2" s="8" t="s">
        <v>19</v>
      </c>
      <c r="C2" s="8" t="s">
        <v>20</v>
      </c>
    </row>
    <row r="3" spans="1:3" x14ac:dyDescent="0.35">
      <c r="A3" s="8" t="s">
        <v>10</v>
      </c>
      <c r="B3" s="8" t="s">
        <v>21</v>
      </c>
      <c r="C3" s="8" t="s">
        <v>20</v>
      </c>
    </row>
    <row r="4" spans="1:3" x14ac:dyDescent="0.35">
      <c r="A4" s="8" t="s">
        <v>12</v>
      </c>
      <c r="B4" s="8" t="s">
        <v>22</v>
      </c>
      <c r="C4" s="8" t="s">
        <v>23</v>
      </c>
    </row>
    <row r="5" spans="1:3" x14ac:dyDescent="0.35">
      <c r="A5" s="8" t="s">
        <v>14</v>
      </c>
      <c r="B5" s="8" t="s">
        <v>24</v>
      </c>
      <c r="C5" s="8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zoomScaleNormal="100" workbookViewId="0">
      <pane ySplit="1" topLeftCell="A2" activePane="bottomLeft" state="frozen"/>
      <selection pane="bottomLeft" activeCell="M12" sqref="M12"/>
    </sheetView>
  </sheetViews>
  <sheetFormatPr defaultColWidth="8.6328125" defaultRowHeight="14.5" x14ac:dyDescent="0.35"/>
  <cols>
    <col min="1" max="1" width="11" customWidth="1"/>
    <col min="2" max="2" width="8" customWidth="1"/>
    <col min="3" max="3" width="10" customWidth="1"/>
    <col min="4" max="4" width="11" customWidth="1"/>
    <col min="5" max="5" width="15" customWidth="1"/>
    <col min="6" max="6" width="13" customWidth="1"/>
    <col min="7" max="7" width="14" customWidth="1"/>
    <col min="8" max="8" width="12" customWidth="1"/>
    <col min="10" max="10" width="24" customWidth="1"/>
    <col min="11" max="11" width="10" customWidth="1"/>
  </cols>
  <sheetData>
    <row r="1" spans="1:1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18</v>
      </c>
      <c r="H1" s="9" t="s">
        <v>25</v>
      </c>
      <c r="J1" s="7" t="s">
        <v>26</v>
      </c>
      <c r="K1" s="8">
        <f>COUNTA(Raw!A2:A14)</f>
        <v>13</v>
      </c>
    </row>
    <row r="2" spans="1:11" x14ac:dyDescent="0.35">
      <c r="A2" s="10">
        <v>1</v>
      </c>
      <c r="B2" s="11" t="s">
        <v>7</v>
      </c>
      <c r="C2" s="8" t="s">
        <v>8</v>
      </c>
      <c r="D2" s="8" t="s">
        <v>9</v>
      </c>
      <c r="E2" s="10">
        <v>2</v>
      </c>
      <c r="F2" s="10">
        <v>2</v>
      </c>
      <c r="G2" s="8" t="str">
        <f>INDEX(Lookup!$C$2:$C$5,MATCH(C2,Lookup!$A$2:$A$5,0))</f>
        <v>Express</v>
      </c>
      <c r="H2" s="10">
        <f t="shared" ref="H2:H13" si="0">MAX(F2-E2,0)</f>
        <v>0</v>
      </c>
      <c r="J2" s="7" t="s">
        <v>27</v>
      </c>
      <c r="K2" s="8">
        <f>COUNTA(A2:A13)</f>
        <v>12</v>
      </c>
    </row>
    <row r="3" spans="1:11" x14ac:dyDescent="0.35">
      <c r="A3" s="10">
        <v>2</v>
      </c>
      <c r="B3" s="11" t="s">
        <v>7</v>
      </c>
      <c r="C3" s="8" t="s">
        <v>10</v>
      </c>
      <c r="D3" s="8" t="s">
        <v>11</v>
      </c>
      <c r="E3" s="10">
        <v>3</v>
      </c>
      <c r="F3" s="10">
        <v>4</v>
      </c>
      <c r="G3" s="8" t="str">
        <f>INDEX(Lookup!$C$2:$C$5,MATCH(C3,Lookup!$A$2:$A$5,0))</f>
        <v>Express</v>
      </c>
      <c r="H3" s="10">
        <f t="shared" si="0"/>
        <v>1</v>
      </c>
      <c r="J3" s="7" t="s">
        <v>28</v>
      </c>
      <c r="K3" s="8">
        <f>K1-K2</f>
        <v>1</v>
      </c>
    </row>
    <row r="4" spans="1:11" x14ac:dyDescent="0.35">
      <c r="A4" s="10">
        <v>3</v>
      </c>
      <c r="B4" s="11" t="s">
        <v>7</v>
      </c>
      <c r="C4" s="8" t="s">
        <v>12</v>
      </c>
      <c r="D4" s="8" t="s">
        <v>13</v>
      </c>
      <c r="E4" s="10">
        <v>5</v>
      </c>
      <c r="F4" s="10">
        <v>8</v>
      </c>
      <c r="G4" s="8" t="str">
        <f>INDEX(Lookup!$C$2:$C$5,MATCH(C4,Lookup!$A$2:$A$5,0))</f>
        <v>Standard</v>
      </c>
      <c r="H4" s="10">
        <f t="shared" si="0"/>
        <v>3</v>
      </c>
    </row>
    <row r="5" spans="1:11" x14ac:dyDescent="0.35">
      <c r="A5" s="10">
        <v>4</v>
      </c>
      <c r="B5" s="11" t="s">
        <v>7</v>
      </c>
      <c r="C5" s="8" t="s">
        <v>14</v>
      </c>
      <c r="D5" s="8" t="s">
        <v>9</v>
      </c>
      <c r="E5" s="10">
        <v>6</v>
      </c>
      <c r="F5" s="10">
        <v>10</v>
      </c>
      <c r="G5" s="8" t="str">
        <f>INDEX(Lookup!$C$2:$C$5,MATCH(C5,Lookup!$A$2:$A$5,0))</f>
        <v>Standard</v>
      </c>
      <c r="H5" s="10">
        <f t="shared" si="0"/>
        <v>4</v>
      </c>
      <c r="J5" s="2"/>
    </row>
    <row r="6" spans="1:11" x14ac:dyDescent="0.35">
      <c r="A6" s="10">
        <v>5</v>
      </c>
      <c r="B6" s="11" t="s">
        <v>15</v>
      </c>
      <c r="C6" s="8" t="s">
        <v>8</v>
      </c>
      <c r="D6" s="8" t="s">
        <v>11</v>
      </c>
      <c r="E6" s="10">
        <v>2</v>
      </c>
      <c r="F6" s="10">
        <v>5</v>
      </c>
      <c r="G6" s="8" t="str">
        <f>INDEX(Lookup!$C$2:$C$5,MATCH(C6,Lookup!$A$2:$A$5,0))</f>
        <v>Express</v>
      </c>
      <c r="H6" s="10">
        <f t="shared" si="0"/>
        <v>3</v>
      </c>
    </row>
    <row r="7" spans="1:11" x14ac:dyDescent="0.35">
      <c r="A7" s="10">
        <v>6</v>
      </c>
      <c r="B7" s="11" t="s">
        <v>15</v>
      </c>
      <c r="C7" s="8" t="s">
        <v>10</v>
      </c>
      <c r="D7" s="8" t="s">
        <v>13</v>
      </c>
      <c r="E7" s="10">
        <v>3</v>
      </c>
      <c r="F7" s="10">
        <v>3</v>
      </c>
      <c r="G7" s="8" t="str">
        <f>INDEX(Lookup!$C$2:$C$5,MATCH(C7,Lookup!$A$2:$A$5,0))</f>
        <v>Express</v>
      </c>
      <c r="H7" s="10">
        <f t="shared" si="0"/>
        <v>0</v>
      </c>
    </row>
    <row r="8" spans="1:11" x14ac:dyDescent="0.35">
      <c r="A8" s="10">
        <v>7</v>
      </c>
      <c r="B8" s="11" t="s">
        <v>15</v>
      </c>
      <c r="C8" s="8" t="s">
        <v>12</v>
      </c>
      <c r="D8" s="8" t="s">
        <v>13</v>
      </c>
      <c r="E8" s="10">
        <v>5</v>
      </c>
      <c r="F8" s="10">
        <v>10</v>
      </c>
      <c r="G8" s="8" t="str">
        <f>INDEX(Lookup!$C$2:$C$5,MATCH(C8,Lookup!$A$2:$A$5,0))</f>
        <v>Standard</v>
      </c>
      <c r="H8" s="10">
        <f t="shared" si="0"/>
        <v>5</v>
      </c>
    </row>
    <row r="9" spans="1:11" x14ac:dyDescent="0.35">
      <c r="A9" s="10">
        <v>8</v>
      </c>
      <c r="B9" s="11" t="s">
        <v>15</v>
      </c>
      <c r="C9" s="8" t="s">
        <v>14</v>
      </c>
      <c r="D9" s="8" t="s">
        <v>11</v>
      </c>
      <c r="E9" s="10">
        <v>6</v>
      </c>
      <c r="F9" s="10">
        <v>7</v>
      </c>
      <c r="G9" s="8" t="str">
        <f>INDEX(Lookup!$C$2:$C$5,MATCH(C9,Lookup!$A$2:$A$5,0))</f>
        <v>Standard</v>
      </c>
      <c r="H9" s="10">
        <f t="shared" si="0"/>
        <v>1</v>
      </c>
    </row>
    <row r="10" spans="1:11" x14ac:dyDescent="0.35">
      <c r="A10" s="10">
        <v>9</v>
      </c>
      <c r="B10" s="11" t="s">
        <v>16</v>
      </c>
      <c r="C10" s="8" t="s">
        <v>8</v>
      </c>
      <c r="D10" s="8" t="s">
        <v>13</v>
      </c>
      <c r="E10" s="10">
        <v>2</v>
      </c>
      <c r="F10" s="10">
        <v>8</v>
      </c>
      <c r="G10" s="8" t="str">
        <f>INDEX(Lookup!$C$2:$C$5,MATCH(C10,Lookup!$A$2:$A$5,0))</f>
        <v>Express</v>
      </c>
      <c r="H10" s="10">
        <f t="shared" si="0"/>
        <v>6</v>
      </c>
    </row>
    <row r="11" spans="1:11" x14ac:dyDescent="0.35">
      <c r="A11" s="10">
        <v>10</v>
      </c>
      <c r="B11" s="11" t="s">
        <v>16</v>
      </c>
      <c r="C11" s="8" t="s">
        <v>10</v>
      </c>
      <c r="D11" s="8" t="s">
        <v>9</v>
      </c>
      <c r="E11" s="10">
        <v>3</v>
      </c>
      <c r="F11" s="10">
        <v>5</v>
      </c>
      <c r="G11" s="8" t="str">
        <f>INDEX(Lookup!$C$2:$C$5,MATCH(C11,Lookup!$A$2:$A$5,0))</f>
        <v>Express</v>
      </c>
      <c r="H11" s="10">
        <f t="shared" si="0"/>
        <v>2</v>
      </c>
    </row>
    <row r="12" spans="1:11" x14ac:dyDescent="0.35">
      <c r="A12" s="10">
        <v>11</v>
      </c>
      <c r="B12" s="11" t="s">
        <v>16</v>
      </c>
      <c r="C12" s="8" t="s">
        <v>12</v>
      </c>
      <c r="D12" s="8" t="s">
        <v>11</v>
      </c>
      <c r="E12" s="10">
        <v>5</v>
      </c>
      <c r="F12" s="10">
        <v>5</v>
      </c>
      <c r="G12" s="8" t="str">
        <f>INDEX(Lookup!$C$2:$C$5,MATCH(C12,Lookup!$A$2:$A$5,0))</f>
        <v>Standard</v>
      </c>
      <c r="H12" s="10">
        <f t="shared" si="0"/>
        <v>0</v>
      </c>
    </row>
    <row r="13" spans="1:11" x14ac:dyDescent="0.35">
      <c r="A13" s="10">
        <v>12</v>
      </c>
      <c r="B13" s="11" t="s">
        <v>16</v>
      </c>
      <c r="C13" s="8" t="s">
        <v>14</v>
      </c>
      <c r="D13" s="8" t="s">
        <v>9</v>
      </c>
      <c r="E13" s="10">
        <v>6</v>
      </c>
      <c r="F13" s="10">
        <v>15</v>
      </c>
      <c r="G13" s="8" t="str">
        <f>INDEX(Lookup!$C$2:$C$5,MATCH(C13,Lookup!$A$2:$A$5,0))</f>
        <v>Standard</v>
      </c>
      <c r="H13" s="10">
        <f t="shared" si="0"/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zoomScaleNormal="100" workbookViewId="0">
      <selection activeCell="A24" sqref="A24"/>
    </sheetView>
  </sheetViews>
  <sheetFormatPr defaultColWidth="8.6328125" defaultRowHeight="14.5" x14ac:dyDescent="0.35"/>
  <cols>
    <col min="1" max="1" width="20" customWidth="1"/>
    <col min="2" max="2" width="18" customWidth="1"/>
    <col min="3" max="4" width="10" customWidth="1"/>
    <col min="5" max="5" width="13" customWidth="1"/>
  </cols>
  <sheetData>
    <row r="1" spans="1:5" ht="18" x14ac:dyDescent="0.4">
      <c r="A1" s="3" t="s">
        <v>29</v>
      </c>
    </row>
    <row r="3" spans="1:5" x14ac:dyDescent="0.35">
      <c r="A3" s="1" t="s">
        <v>30</v>
      </c>
    </row>
    <row r="4" spans="1:5" x14ac:dyDescent="0.35">
      <c r="A4" s="9" t="s">
        <v>3</v>
      </c>
      <c r="B4" s="9" t="s">
        <v>31</v>
      </c>
    </row>
    <row r="5" spans="1:5" x14ac:dyDescent="0.35">
      <c r="A5" s="8" t="s">
        <v>11</v>
      </c>
      <c r="B5" s="8">
        <f>SUMIFS(Clean!$H$2:$H$13,Clean!$D$2:$D$13,A5)</f>
        <v>5</v>
      </c>
    </row>
    <row r="6" spans="1:5" x14ac:dyDescent="0.35">
      <c r="A6" s="8" t="s">
        <v>13</v>
      </c>
      <c r="B6" s="8">
        <f>SUMIFS(Clean!$H$2:$H$13,Clean!$D$2:$D$13,A6)</f>
        <v>14</v>
      </c>
    </row>
    <row r="7" spans="1:5" x14ac:dyDescent="0.35">
      <c r="A7" s="8" t="s">
        <v>9</v>
      </c>
      <c r="B7" s="8">
        <f>SUMIFS(Clean!$H$2:$H$13,Clean!$D$2:$D$13,A7)</f>
        <v>15</v>
      </c>
    </row>
    <row r="8" spans="1:5" x14ac:dyDescent="0.35">
      <c r="A8" s="7" t="s">
        <v>32</v>
      </c>
      <c r="B8" s="7">
        <f>SUM(B5:B7)</f>
        <v>34</v>
      </c>
    </row>
    <row r="10" spans="1:5" x14ac:dyDescent="0.35">
      <c r="A10" s="1" t="s">
        <v>33</v>
      </c>
    </row>
    <row r="12" spans="1:5" x14ac:dyDescent="0.35">
      <c r="A12" s="4" t="s">
        <v>34</v>
      </c>
      <c r="B12" s="4" t="s">
        <v>35</v>
      </c>
    </row>
    <row r="13" spans="1:5" x14ac:dyDescent="0.35">
      <c r="A13" s="4" t="s">
        <v>36</v>
      </c>
      <c r="B13" t="s">
        <v>7</v>
      </c>
      <c r="C13" t="s">
        <v>15</v>
      </c>
      <c r="D13" t="s">
        <v>16</v>
      </c>
      <c r="E13" t="s">
        <v>37</v>
      </c>
    </row>
    <row r="14" spans="1:5" x14ac:dyDescent="0.35">
      <c r="A14" s="5" t="s">
        <v>20</v>
      </c>
      <c r="B14" s="6">
        <v>1</v>
      </c>
      <c r="C14" s="6">
        <v>3</v>
      </c>
      <c r="D14" s="6">
        <v>8</v>
      </c>
      <c r="E14" s="6">
        <v>12</v>
      </c>
    </row>
    <row r="15" spans="1:5" x14ac:dyDescent="0.35">
      <c r="A15" s="5" t="s">
        <v>23</v>
      </c>
      <c r="B15" s="6">
        <v>7</v>
      </c>
      <c r="C15" s="6">
        <v>6</v>
      </c>
      <c r="D15" s="6">
        <v>9</v>
      </c>
      <c r="E15" s="6">
        <v>22</v>
      </c>
    </row>
    <row r="16" spans="1:5" x14ac:dyDescent="0.35">
      <c r="A16" s="5" t="s">
        <v>37</v>
      </c>
      <c r="B16" s="6">
        <v>8</v>
      </c>
      <c r="C16" s="6">
        <v>9</v>
      </c>
      <c r="D16" s="6">
        <v>17</v>
      </c>
      <c r="E16" s="6">
        <v>34</v>
      </c>
    </row>
    <row r="19" spans="1:1" x14ac:dyDescent="0.35">
      <c r="A19" s="1"/>
    </row>
  </sheetData>
  <pageMargins left="0.75" right="0.75" top="1" bottom="1" header="0.511811023622047" footer="0.511811023622047"/>
  <pageSetup paperSize="9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LP TECH</cp:lastModifiedBy>
  <cp:revision>1</cp:revision>
  <dcterms:created xsi:type="dcterms:W3CDTF">2026-10-09T15:02:25Z</dcterms:created>
  <dcterms:modified xsi:type="dcterms:W3CDTF">2026-10-10T06:06:48Z</dcterms:modified>
  <dc:language>en-US</dc:language>
</cp:coreProperties>
</file>